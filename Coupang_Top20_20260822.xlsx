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USB-C 커넥터 EarPods</t>
        </is>
      </c>
      <c r="B2" t="n">
        <v>26990</v>
      </c>
      <c r="C2">
        <f>HYPERLINK("https://link.coupang.com/re/AFFSDP?lptag=AF2411847&amp;pageKey=8300107736&amp;itemId=25246423475&amp;vendorItemId=90965273088&amp;traceid=V0-113-6d3bd893a0f3e865", "클릭해서 이동")</f>
        <v/>
      </c>
    </row>
    <row r="3">
      <c r="A3" t="inlineStr">
        <is>
          <t>Apple 2025 에어팟 프로 3 USB-C 블루투스 이어폰</t>
        </is>
      </c>
      <c r="B3" t="n">
        <v>321030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신지모루 IPX8스펀지 튜브 4중잠금 스마트폰 방수팩+ 크로스 스트랩 + 암밴드 + 핸드 스트랩</t>
        </is>
      </c>
      <c r="B4" t="n">
        <v>9900</v>
      </c>
      <c r="C4">
        <f>HYPERLINK("https://link.coupang.com/re/AFFSDP?lptag=AF2411847&amp;pageKey=7342693694&amp;itemId=18876369675&amp;vendorItemId=86004954806&amp;traceid=V0-113-4a6c0db477492449", "클릭해서 이동")</f>
        <v/>
      </c>
    </row>
    <row r="5">
      <c r="A5" t="inlineStr">
        <is>
          <t>아이리버 25W 2포트 초고속 가정용 충전기 + CtoC 케이블 세트</t>
        </is>
      </c>
      <c r="B5" t="n">
        <v>8800</v>
      </c>
      <c r="C5">
        <f>HYPERLINK("https://link.coupang.com/re/AFFSDP?lptag=AF2411847&amp;pageKey=8939019740&amp;itemId=26138373322&amp;vendorItemId=93118512226&amp;traceid=V0-113-fd1e07a2d9481cd8", "클릭해서 이동")</f>
        <v/>
      </c>
    </row>
    <row r="6">
      <c r="A6" t="inlineStr">
        <is>
          <t>신지모루 오피디 25W GaN 듀얼포트 PPS 초고속 PD 충전기</t>
        </is>
      </c>
      <c r="B6" t="n">
        <v>8900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이츠라이프 C타입 PD to 라이트닝 8핀 18W 고속 충전 케이블</t>
        </is>
      </c>
      <c r="B7" t="n">
        <v>5500</v>
      </c>
      <c r="C7">
        <f>HYPERLINK("https://link.coupang.com/re/AFFSDP?lptag=AF2411847&amp;pageKey=6344753372&amp;itemId=13325965156&amp;vendorItemId=80581901540&amp;traceid=V0-113-a0617e06ddc13702", "클릭해서 이동")</f>
        <v/>
      </c>
    </row>
    <row r="8">
      <c r="A8" t="inlineStr">
        <is>
          <t>PLEIGO USB 메모리 P50</t>
        </is>
      </c>
      <c r="B8" t="n">
        <v>9750</v>
      </c>
      <c r="C8">
        <f>HYPERLINK("https://link.coupang.com/re/AFFSDP?lptag=AF2411847&amp;pageKey=5309101612&amp;itemId=18278617989&amp;vendorItemId=74945175742&amp;traceid=V0-113-09bac7b5f3f4541f", "클릭해서 이동")</f>
        <v/>
      </c>
    </row>
    <row r="9">
      <c r="A9" t="inlineStr">
        <is>
          <t>로지텍 2세대 LIGHTSYNC 게이밍 유선마우스</t>
        </is>
      </c>
      <c r="B9" t="n">
        <v>19210</v>
      </c>
      <c r="C9">
        <f>HYPERLINK("https://link.coupang.com/re/AFFSDP?lptag=AF2411847&amp;pageKey=9595729489&amp;itemId=28645359064&amp;vendorItemId=88183875692&amp;traceid=V0-113-4437218efaa33548", "클릭해서 이동")</f>
        <v/>
      </c>
    </row>
    <row r="10">
      <c r="A10" t="inlineStr">
        <is>
          <t>홈플래닛 25W PPS PD 3.0 초고속 충전기 + CtoC 케이블 1.2m</t>
        </is>
      </c>
      <c r="B10" t="n">
        <v>7290</v>
      </c>
      <c r="C10">
        <f>HYPERLINK("https://link.coupang.com/re/AFFSDP?lptag=AF2411847&amp;pageKey=5047898639&amp;itemId=6804859657&amp;vendorItemId=74097543659&amp;traceid=V0-113-482c6187a1b37f79", "클릭해서 이동")</f>
        <v/>
      </c>
    </row>
    <row r="11">
      <c r="A11" t="inlineStr">
        <is>
          <t>팬톤 PD 22.5W 초고속충전 대용량 케이블 일체형 미러 보조배터리 10000mAh PGB-20</t>
        </is>
      </c>
      <c r="B11" t="n">
        <v>18900</v>
      </c>
      <c r="C11">
        <f>HYPERLINK("https://link.coupang.com/re/AFFSDP?lptag=AF2411847&amp;pageKey=7925483056&amp;itemId=21787007376&amp;vendorItemId=88835705816&amp;traceid=V0-113-f89728f61fd6871b", "클릭해서 이동")</f>
        <v/>
      </c>
    </row>
    <row r="12">
      <c r="A12" t="inlineStr">
        <is>
          <t>유닉스 세라믹 판고데기</t>
        </is>
      </c>
      <c r="B12" t="n">
        <v>24900</v>
      </c>
      <c r="C12">
        <f>HYPERLINK("https://link.coupang.com/re/AFFSDP?lptag=AF2411847&amp;pageKey=8729115745&amp;itemId=25361584612&amp;vendorItemId=3089081003&amp;traceid=V0-113-c054456fc302c5b1", "클릭해서 이동")</f>
        <v/>
      </c>
    </row>
    <row r="13">
      <c r="A13" t="inlineStr">
        <is>
          <t>코드웨이 PD 100W C타입 to C 초고속 충전케이블</t>
        </is>
      </c>
      <c r="B13" t="n">
        <v>9900</v>
      </c>
      <c r="C13">
        <f>HYPERLINK("https://link.coupang.com/re/AFFSDP?lptag=AF2411847&amp;pageKey=6828007704&amp;itemId=16201347351&amp;vendorItemId=91774959786&amp;traceid=V0-113-ff27068ba4d2f8c3", "클릭해서 이동")</f>
        <v/>
      </c>
    </row>
    <row r="14">
      <c r="A14" t="inlineStr">
        <is>
          <t>애플 Lightning USB C 1m 케이블</t>
        </is>
      </c>
      <c r="B14" t="n">
        <v>19860</v>
      </c>
      <c r="C14">
        <f>HYPERLINK("https://link.coupang.com/re/AFFSDP?lptag=AF2411847&amp;pageKey=6135671310&amp;itemId=26739810964&amp;vendorItemId=88946948877&amp;traceid=V0-113-263cad63aa6054db", "클릭해서 이동")</f>
        <v/>
      </c>
    </row>
    <row r="15">
      <c r="A15" t="inlineStr">
        <is>
          <t>Apple 2024 에어팟 4 블루투스 이어폰 유선충전</t>
        </is>
      </c>
      <c r="B15" t="n">
        <v>173130</v>
      </c>
      <c r="C15">
        <f>HYPERLINK("https://link.coupang.com/re/AFFSDP?lptag=AF2411847&amp;pageKey=8367073893&amp;itemId=24175708330&amp;vendorItemId=91193685697&amp;traceid=V0-113-b76fc3836f4c8921", "클릭해서 이동")</f>
        <v/>
      </c>
    </row>
    <row r="16">
      <c r="A16" t="inlineStr">
        <is>
          <t>로지텍 무선마우스</t>
        </is>
      </c>
      <c r="B16" t="n">
        <v>12250</v>
      </c>
      <c r="C16">
        <f>HYPERLINK("https://link.coupang.com/re/AFFSDP?lptag=AF2411847&amp;pageKey=1796918840&amp;itemId=3057049578&amp;vendorItemId=3466219990&amp;traceid=V0-113-dbeb72b25164ca2a", "클릭해서 이동")</f>
        <v/>
      </c>
    </row>
    <row r="17">
      <c r="A17" t="inlineStr">
        <is>
          <t>액센 프리미엄 캐릭터 마이크로 SD카드 MSD</t>
        </is>
      </c>
      <c r="B17" t="n">
        <v>19800</v>
      </c>
      <c r="C17">
        <f>HYPERLINK("https://link.coupang.com/re/AFFSDP?lptag=AF2411847&amp;pageKey=7704604385&amp;itemId=6156844140&amp;vendorItemId=73453040955&amp;traceid=V0-113-a6ffe7d8068452b2", "클릭해서 이동")</f>
        <v/>
      </c>
    </row>
    <row r="18">
      <c r="A18" t="inlineStr">
        <is>
          <t>필립스 무선 ENC노이즈캔슬링 블루투스 이어폰</t>
        </is>
      </c>
      <c r="B18" t="n">
        <v>19900</v>
      </c>
      <c r="C18">
        <f>HYPERLINK("https://link.coupang.com/re/AFFSDP?lptag=AF2411847&amp;pageKey=8498887873&amp;itemId=24600675528&amp;vendorItemId=91612183770&amp;traceid=V0-113-53ee2dd24dc6f077", "클릭해서 이동")</f>
        <v/>
      </c>
    </row>
    <row r="19">
      <c r="A19" t="inlineStr">
        <is>
          <t>요이치 게이밍 마우스 장패드 800 x 300 x 5 mm</t>
        </is>
      </c>
      <c r="B19" t="n">
        <v>5900</v>
      </c>
      <c r="C19">
        <f>HYPERLINK("https://link.coupang.com/re/AFFSDP?lptag=AF2411847&amp;pageKey=5912978260&amp;itemId=10456923425&amp;vendorItemId=77738725126&amp;traceid=V0-113-df85ee4181c43fc2", "클릭해서 이동")</f>
        <v/>
      </c>
    </row>
    <row r="20">
      <c r="A20" t="inlineStr">
        <is>
          <t>홈플래닛 핸디형 스탠드 스팀다리미</t>
        </is>
      </c>
      <c r="B20" t="n">
        <v>26990</v>
      </c>
      <c r="C20">
        <f>HYPERLINK("https://link.coupang.com/re/AFFSDP?lptag=AF2411847&amp;pageKey=310080038&amp;itemId=977484067&amp;vendorItemId=5392665218&amp;traceid=V0-113-c73a6d2a7fbf4b52", "클릭해서 이동")</f>
        <v/>
      </c>
    </row>
    <row r="21">
      <c r="A21" t="inlineStr">
        <is>
          <t>SUNGOD 헤어 드라이기 블루라이트 케어 고출력 파워풍량 2000W 저소음 가정용 휴대용</t>
        </is>
      </c>
      <c r="B21" t="n">
        <v>24800</v>
      </c>
      <c r="C21">
        <f>HYPERLINK("https://link.coupang.com/re/AFFSDP?lptag=AF2411847&amp;pageKey=8999614825&amp;itemId=26372111897&amp;vendorItemId=95660027559&amp;traceid=V0-113-f2db7f312cdbdad8",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2026-08-22T23:11:17Z</dcterms:created>
  <dcterms:modified xsi:type="dcterms:W3CDTF">2026-08-22T23:11:17Z</dcterms:modified>
</cp:coreProperties>
</file>