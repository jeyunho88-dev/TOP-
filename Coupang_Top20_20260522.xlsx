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26390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홈플래닛 발터치 리모컨 스탠드형 선풍기</t>
        </is>
      </c>
      <c r="B3" t="n">
        <v>33890</v>
      </c>
      <c r="C3">
        <f>HYPERLINK("https://link.coupang.com/re/AFFSDP?lptag=AF2411847&amp;pageKey=1459643219&amp;itemId=2511597502&amp;vendorItemId=92134731921&amp;traceid=V0-113-62386184a6cb7f37", "클릭해서 이동")</f>
        <v/>
      </c>
    </row>
    <row r="4">
      <c r="A4" t="inlineStr">
        <is>
          <t>홈플래닛 퀄컴 공식인증 QC3.0 18W 고속충전기 + C타입 충전케이블 1.2m 세트</t>
        </is>
      </c>
      <c r="B4" t="n">
        <v>7490</v>
      </c>
      <c r="C4">
        <f>HYPERLINK("https://link.coupang.com/re/AFFSDP?lptag=AF2411847&amp;pageKey=1628630781&amp;itemId=2778296479&amp;vendorItemId=89645323681&amp;traceid=V0-113-e16801aaf71b1d25", "클릭해서 이동")</f>
        <v/>
      </c>
    </row>
    <row r="5">
      <c r="A5" t="inlineStr">
        <is>
          <t>필립스 무선 ENC노이즈캔슬링 블루투스 이어폰</t>
        </is>
      </c>
      <c r="B5" t="n">
        <v>19900</v>
      </c>
      <c r="C5">
        <f>HYPERLINK("https://link.coupang.com/re/AFFSDP?lptag=AF2411847&amp;pageKey=8498887873&amp;itemId=24600675528&amp;vendorItemId=91612183770&amp;traceid=V0-113-53ee2dd24dc6f077", "클릭해서 이동")</f>
        <v/>
      </c>
    </row>
    <row r="6">
      <c r="A6" t="inlineStr">
        <is>
          <t>엔보우 모노미니 탁상용 무선 선풍기</t>
        </is>
      </c>
      <c r="B6" t="n">
        <v>14900</v>
      </c>
      <c r="C6">
        <f>HYPERLINK("https://link.coupang.com/re/AFFSDP?lptag=AF2411847&amp;pageKey=8159651990&amp;itemId=23257490210&amp;vendorItemId=90463026195&amp;traceid=V0-113-0d14e8f2b8929e3d", "클릭해서 이동")</f>
        <v/>
      </c>
    </row>
    <row r="7">
      <c r="A7" t="inlineStr">
        <is>
          <t>홈플래닛 리모컨 스탠드형 서큘레이터</t>
        </is>
      </c>
      <c r="B7" t="n">
        <v>35690</v>
      </c>
      <c r="C7">
        <f>HYPERLINK("https://link.coupang.com/re/AFFSDP?lptag=AF2411847&amp;pageKey=7942116067&amp;itemId=21878493551&amp;vendorItemId=88926601593&amp;traceid=V0-113-d0c600c5d5c4389f", "클릭해서 이동")</f>
        <v/>
      </c>
    </row>
    <row r="8">
      <c r="A8" t="inlineStr">
        <is>
          <t>홈플래닛 탁상용 접이식 스마트폰 거치대  6.5x11x12.5~16.5 cm</t>
        </is>
      </c>
      <c r="B8" t="n">
        <v>3290</v>
      </c>
      <c r="C8">
        <f>HYPERLINK("https://link.coupang.com/re/AFFSDP?lptag=AF2411847&amp;pageKey=7265236509&amp;itemId=18515307151&amp;vendorItemId=85654104724&amp;traceid=V0-113-802cee97866e3ec9", "클릭해서 이동")</f>
        <v/>
      </c>
    </row>
    <row r="9">
      <c r="A9" t="inlineStr">
        <is>
          <t>신지모루 C to C PD 고속충전 케이블 60W</t>
        </is>
      </c>
      <c r="B9" t="n">
        <v>6900</v>
      </c>
      <c r="C9">
        <f>HYPERLINK("https://link.coupang.com/re/AFFSDP?lptag=AF2411847&amp;pageKey=8509349020&amp;itemId=13761827932&amp;vendorItemId=81012487257&amp;traceid=V0-113-fbdca8b1f131e189", "클릭해서 이동")</f>
        <v/>
      </c>
    </row>
    <row r="10">
      <c r="A10" t="inlineStr">
        <is>
          <t>아이리버 3.5mm AUX 갤럭시 노트북 컴퓨터 알루미늄 커널형 유선 이어폰, BHC-70M, 블랙</t>
        </is>
      </c>
      <c r="B10" t="n">
        <v>7840</v>
      </c>
      <c r="C10">
        <f>HYPERLINK("https://link.coupang.com/re/AFFSDP?lptag=AF2411847&amp;pageKey=8602654934&amp;itemId=24944896878&amp;vendorItemId=91980127301&amp;traceid=V0-113-cef1a24c3259468a", "클릭해서 이동")</f>
        <v/>
      </c>
    </row>
    <row r="11">
      <c r="A11" t="inlineStr">
        <is>
          <t>에이치디탑 1포트 DC 5V 1A USB 충전 어댑터 HT-5V01</t>
        </is>
      </c>
      <c r="B11" t="n">
        <v>3020</v>
      </c>
      <c r="C11">
        <f>HYPERLINK("https://link.coupang.com/re/AFFSDP?lptag=AF2411847&amp;pageKey=6279867416&amp;itemId=12889406958&amp;vendorItemId=80154499035&amp;traceid=V0-113-5391715543fe73ee", "클릭해서 이동")</f>
        <v/>
      </c>
    </row>
    <row r="12">
      <c r="A12" t="inlineStr">
        <is>
          <t>원스탑 제로갭 슬림 개별 스위치 멀티탭 3구 16A + 안전커버</t>
        </is>
      </c>
      <c r="B12" t="n">
        <v>10260</v>
      </c>
      <c r="C12">
        <f>HYPERLINK("https://link.coupang.com/re/AFFSDP?lptag=AF2411847&amp;pageKey=8826084661&amp;itemId=25719073639&amp;vendorItemId=92787518032&amp;traceid=V0-113-b805d07925969125", "클릭해서 이동")</f>
        <v/>
      </c>
    </row>
    <row r="13">
      <c r="A13" t="inlineStr">
        <is>
          <t>에코파워탭 LED 개별 과부하차단 멀티탭 4구 CSG-40415 + 안전커버</t>
        </is>
      </c>
      <c r="B13" t="n">
        <v>17800</v>
      </c>
      <c r="C13">
        <f>HYPERLINK("https://link.coupang.com/re/AFFSDP?lptag=AF2411847&amp;pageKey=5732864713&amp;itemId=23626836611&amp;vendorItemId=90652355481&amp;traceid=V0-113-47c37fb8f7ceb8af", "클릭해서 이동")</f>
        <v/>
      </c>
    </row>
    <row r="14">
      <c r="A14" t="inlineStr">
        <is>
          <t>에버튼하우스 에그쿠커</t>
        </is>
      </c>
      <c r="B14" t="n">
        <v>8500</v>
      </c>
      <c r="C14">
        <f>HYPERLINK("https://link.coupang.com/re/AFFSDP?lptag=AF2411847&amp;pageKey=283693738&amp;itemId=18656743421&amp;vendorItemId=70683242414&amp;traceid=V0-113-c77feddeeb9a1c86", "클릭해서 이동")</f>
        <v/>
      </c>
    </row>
    <row r="15">
      <c r="A15" t="inlineStr">
        <is>
          <t>Apple 애플펜슬 프로</t>
        </is>
      </c>
      <c r="B15" t="n">
        <v>159000</v>
      </c>
      <c r="C15">
        <f>HYPERLINK("https://link.coupang.com/re/AFFSDP?lptag=AF2411847&amp;pageKey=8106270209&amp;itemId=22947179438&amp;vendorItemId=89981484435&amp;traceid=V0-113-ba85b1c9289d1f3f", "클릭해서 이동")</f>
        <v/>
      </c>
    </row>
    <row r="16">
      <c r="A16" t="inlineStr">
        <is>
          <t>QCY 블루투스 이어폰</t>
        </is>
      </c>
      <c r="B16" t="n">
        <v>24300</v>
      </c>
      <c r="C16">
        <f>HYPERLINK("https://link.coupang.com/re/AFFSDP?lptag=AF2411847&amp;pageKey=6572373138&amp;itemId=14758141683&amp;vendorItemId=78636438577&amp;traceid=V0-113-0750394eb3aee5d2", "클릭해서 이동")</f>
        <v/>
      </c>
    </row>
    <row r="17">
      <c r="A17" t="inlineStr">
        <is>
          <t>신지모루 O PD 65W GaN 3포트 초고속 접지 충전기</t>
        </is>
      </c>
      <c r="B17" t="n">
        <v>23000</v>
      </c>
      <c r="C17">
        <f>HYPERLINK("https://link.coupang.com/re/AFFSDP?lptag=AF2411847&amp;pageKey=7772316248&amp;itemId=20986227057&amp;vendorItemId=88050694887&amp;traceid=V0-113-0de31ba3c3679234", "클릭해서 이동")</f>
        <v/>
      </c>
    </row>
    <row r="18">
      <c r="A18" t="inlineStr">
        <is>
          <t>삼성전자 갤럭시 핏3 SM-R390</t>
        </is>
      </c>
      <c r="B18" t="n">
        <v>85000</v>
      </c>
      <c r="C18">
        <f>HYPERLINK("https://link.coupang.com/re/AFFSDP?lptag=AF2411847&amp;pageKey=8365215718&amp;itemId=24635275660&amp;vendorItemId=91186820423&amp;traceid=V0-113-6c3841dffd0e322d", "클릭해서 이동")</f>
        <v/>
      </c>
    </row>
    <row r="19">
      <c r="A19" t="inlineStr">
        <is>
          <t>[TV홈쇼핑정품 인포벨]벨루아체 굿네일 무선 전동 손발톱 관리기 휴대용 간편 충전식 큐티클 굳은살 제거 정리</t>
        </is>
      </c>
      <c r="B19" t="n">
        <v>29900</v>
      </c>
      <c r="C19">
        <f>HYPERLINK("https://link.coupang.com/re/AFFSDP?lptag=AF2411847&amp;pageKey=9474494402&amp;itemId=28203097279&amp;vendorItemId=95157277478&amp;traceid=V0-113-bc10acacd80ac7bd", "클릭해서 이동")</f>
        <v/>
      </c>
    </row>
    <row r="20">
      <c r="A20" t="inlineStr">
        <is>
          <t>Apple 2025 애플워치 SE3 알루미늄 케이스</t>
        </is>
      </c>
      <c r="B20" t="n">
        <v>335610</v>
      </c>
      <c r="C20">
        <f>HYPERLINK("https://link.coupang.com/re/AFFSDP?lptag=AF2411847&amp;pageKey=9024221867&amp;itemId=26462606004&amp;vendorItemId=93437880472&amp;traceid=V0-113-e1f5025d0bd9de17", "클릭해서 이동")</f>
        <v/>
      </c>
    </row>
    <row r="21">
      <c r="A21" t="inlineStr">
        <is>
          <t>샤오미 레드미 버즈 6 플레이 블루투스 이어폰</t>
        </is>
      </c>
      <c r="B21" t="n">
        <v>11800</v>
      </c>
      <c r="C21">
        <f>HYPERLINK("https://link.coupang.com/re/AFFSDP?lptag=AF2411847&amp;pageKey=8717109724&amp;itemId=25318727006&amp;vendorItemId=92313729450&amp;traceid=V0-113-4b5784b2383e8599",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2026-05-22T10:34:56Z</dcterms:created>
  <dcterms:modified xsi:type="dcterms:W3CDTF">2026-05-22T10:34:56Z</dcterms:modified>
</cp:coreProperties>
</file>