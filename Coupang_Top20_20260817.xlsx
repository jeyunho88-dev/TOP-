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핸디형 스탠드 스팀다리미</t>
        </is>
      </c>
      <c r="B2" t="n">
        <v>28990</v>
      </c>
      <c r="C2">
        <f>HYPERLINK("https://link.coupang.com/re/AFFSDP?lptag=AF2411847&amp;pageKey=310080038&amp;itemId=977484067&amp;vendorItemId=5392665218&amp;traceid=V0-113-c73a6d2a7fbf4b52", "클릭해서 이동")</f>
        <v/>
      </c>
    </row>
    <row r="3">
      <c r="A3" t="inlineStr">
        <is>
          <t>도리도리(DORIDORI) 동우 33W 축사 공장 벽부형 벨마우스 국내산 환풍기 200mm</t>
        </is>
      </c>
      <c r="B3" t="n">
        <v>25970</v>
      </c>
      <c r="C3">
        <f>HYPERLINK("https://link.coupang.com/re/AFFSDP?lptag=AF2411847&amp;pageKey=9349873441&amp;itemId=27736966652&amp;vendorItemId=94698125088&amp;traceid=V0-113-5e2f68f173892837", "클릭해서 이동")</f>
        <v/>
      </c>
    </row>
    <row r="4">
      <c r="A4" t="inlineStr">
        <is>
          <t>구스페리 맥세이프 호환 플레이트 자석 스티커</t>
        </is>
      </c>
      <c r="B4" t="n">
        <v>5090</v>
      </c>
      <c r="C4">
        <f>HYPERLINK("https://link.coupang.com/re/AFFSDP?lptag=AF2411847&amp;pageKey=9535392088&amp;itemId=28439612706&amp;vendorItemId=95390405286&amp;traceid=V0-113-3feb19cfaf89893b", "클릭해서 이동")</f>
        <v/>
      </c>
    </row>
    <row r="5">
      <c r="A5" t="inlineStr">
        <is>
          <t>플레이스테이션 철권 8</t>
        </is>
      </c>
      <c r="B5" t="n">
        <v>23800</v>
      </c>
      <c r="C5">
        <f>HYPERLINK("https://link.coupang.com/re/AFFSDP?lptag=AF2411847&amp;pageKey=7762120341&amp;itemId=20934138697&amp;vendorItemId=88000828674&amp;traceid=V0-113-146127fa52ec6f06", "클릭해서 이동")</f>
        <v/>
      </c>
    </row>
    <row r="6">
      <c r="A6" t="inlineStr">
        <is>
          <t>이츠라이프 애플워치 9H 스퀘어 풀커버 강화유리 케이스 44mm</t>
        </is>
      </c>
      <c r="B6" t="n">
        <v>6900</v>
      </c>
      <c r="C6">
        <f>HYPERLINK("https://link.coupang.com/re/AFFSDP?lptag=AF2411847&amp;pageKey=8550746097&amp;itemId=17095505499&amp;vendorItemId=84269360647&amp;traceid=V0-113-8dd5d2865e4591ab", "클릭해서 이동")</f>
        <v/>
      </c>
    </row>
    <row r="7">
      <c r="A7" t="inlineStr">
        <is>
          <t>ipTIME USB 2.0 무선 랜카드</t>
        </is>
      </c>
      <c r="B7" t="n">
        <v>6900</v>
      </c>
      <c r="C7">
        <f>HYPERLINK("https://link.coupang.com/re/AFFSDP?lptag=AF2411847&amp;pageKey=8274677276&amp;itemId=23851003468&amp;vendorItemId=90874397751&amp;traceid=V0-113-b26c08d2ceed693b", "클릭해서 이동")</f>
        <v/>
      </c>
    </row>
    <row r="8">
      <c r="A8" t="inlineStr">
        <is>
          <t>보코 고용량 4000W 누전차단용 멀티탭 2구</t>
        </is>
      </c>
      <c r="B8" t="n">
        <v>23900</v>
      </c>
      <c r="C8">
        <f>HYPERLINK("https://link.coupang.com/re/AFFSDP?lptag=AF2411847&amp;pageKey=8256141484&amp;itemId=23776834337&amp;vendorItemId=95181884020&amp;traceid=V0-113-a31772b7145e746a", "클릭해서 이동")</f>
        <v/>
      </c>
    </row>
    <row r="9">
      <c r="A9" t="inlineStr">
        <is>
          <t>케이페이지 5엽날개 좌우회전 3단풍량 2시간 타이머 좌석용 선풍기 35cm(14인치)</t>
        </is>
      </c>
      <c r="B9" t="n">
        <v>24900</v>
      </c>
      <c r="C9">
        <f>HYPERLINK("https://link.coupang.com/re/AFFSDP?lptag=AF2411847&amp;pageKey=9422427799&amp;itemId=28005950695&amp;vendorItemId=94986524831&amp;traceid=V0-113-c9eeddc95f24c9cc", "클릭해서 이동")</f>
        <v/>
      </c>
    </row>
    <row r="10">
      <c r="A10" t="inlineStr">
        <is>
          <t>주닉스 T-180 카메라 1.8M 라이브 방송용 삼각대</t>
        </is>
      </c>
      <c r="B10" t="n">
        <v>24800</v>
      </c>
      <c r="C10">
        <f>HYPERLINK("https://link.coupang.com/re/AFFSDP?lptag=AF2411847&amp;pageKey=6190667507&amp;itemId=12216008927&amp;vendorItemId=90875845141&amp;traceid=V0-113-b21a66892196ff7d", "클릭해서 이동")</f>
        <v/>
      </c>
    </row>
    <row r="11">
      <c r="A11" t="inlineStr">
        <is>
          <t>어썸디자인 플랫 가죽 지갑 다이어리 케이스</t>
        </is>
      </c>
      <c r="B11" t="n">
        <v>17350</v>
      </c>
      <c r="C11">
        <f>HYPERLINK("https://link.coupang.com/re/AFFSDP?lptag=AF2411847&amp;pageKey=8409353665&amp;itemId=23999673339&amp;vendorItemId=85904852447&amp;traceid=V0-113-9f5dbdf6c945deec", "클릭해서 이동")</f>
        <v/>
      </c>
    </row>
    <row r="12">
      <c r="A12" t="inlineStr">
        <is>
          <t>브리츠 2채널 사운드바 PC용 스피커</t>
        </is>
      </c>
      <c r="B12" t="n">
        <v>19700</v>
      </c>
      <c r="C12">
        <f>HYPERLINK("https://link.coupang.com/re/AFFSDP?lptag=AF2411847&amp;pageKey=8542278435&amp;itemId=24733059884&amp;vendorItemId=91741932001&amp;traceid=V0-113-3720c3ae9a696a27", "클릭해서 이동")</f>
        <v/>
      </c>
    </row>
    <row r="13">
      <c r="A13" t="inlineStr">
        <is>
          <t>알루바프로 누전차단 고용량멀티탭 알루미늄 서버탭 4구 디에스이</t>
        </is>
      </c>
      <c r="B13" t="n">
        <v>44500</v>
      </c>
      <c r="C13">
        <f>HYPERLINK("https://link.coupang.com/re/AFFSDP?lptag=AF2411847&amp;pageKey=9651469420&amp;itemId=28847703482&amp;vendorItemId=95648861961&amp;traceid=V0-113-15e744662cd9eb84", "클릭해서 이동")</f>
        <v/>
      </c>
    </row>
    <row r="14">
      <c r="A14" t="inlineStr">
        <is>
          <t>워너프 분실 방지 마그네틱 실리콘 이어폰 스트랩</t>
        </is>
      </c>
      <c r="B14" t="n">
        <v>5060</v>
      </c>
      <c r="C14">
        <f>HYPERLINK("https://link.coupang.com/re/AFFSDP?lptag=AF2411847&amp;pageKey=8436571767&amp;itemId=27032228031&amp;vendorItemId=94873556541&amp;traceid=V0-113-7d1ecdec738bce58", "클릭해서 이동")</f>
        <v/>
      </c>
    </row>
    <row r="15">
      <c r="A15" t="inlineStr">
        <is>
          <t>하츠 환풍기1개+필터3개+청소솔1개 설치세트 HBF-H503 플러그형 허리케인</t>
        </is>
      </c>
      <c r="B15" t="n">
        <v>35000</v>
      </c>
      <c r="C15">
        <f>HYPERLINK("https://link.coupang.com/re/AFFSDP?lptag=AF2411847&amp;pageKey=9673549770&amp;itemId=28924123740&amp;vendorItemId=95787260438&amp;traceid=V0-113-5658ab7193ecbc6a", "클릭해서 이동")</f>
        <v/>
      </c>
    </row>
    <row r="16">
      <c r="A16" t="inlineStr">
        <is>
          <t>비쎌 스팀청소기 BA-BS2233S 호환 찌든때 걸레 + 일반 걸레</t>
        </is>
      </c>
      <c r="B16" t="n">
        <v>10800</v>
      </c>
      <c r="C16">
        <f>HYPERLINK("https://link.coupang.com/re/AFFSDP?lptag=AF2411847&amp;pageKey=5581660942&amp;itemId=28152536637&amp;vendorItemId=95107846454&amp;traceid=V0-113-894f1a86d38d0dc1", "클릭해서 이동")</f>
        <v/>
      </c>
    </row>
    <row r="17">
      <c r="A17" t="inlineStr">
        <is>
          <t>삼성전자 56.9㎡(17.2평) AI Q9000 스탠드형 에어컨 + 리모컨 세트 AF60F17D11WT 방문설치</t>
        </is>
      </c>
      <c r="B17" t="n">
        <v>1269000</v>
      </c>
      <c r="C17">
        <f>HYPERLINK("https://link.coupang.com/re/AFFSDP?lptag=AF2411847&amp;pageKey=8677314588&amp;itemId=25190530084&amp;vendorItemId=92187280503&amp;traceid=V0-113-d9996abd0f5f635f", "클릭해서 이동")</f>
        <v/>
      </c>
    </row>
    <row r="18">
      <c r="A18" t="inlineStr">
        <is>
          <t>DJI Osmo Action 6 다이빙 액세서리 키트</t>
        </is>
      </c>
      <c r="B18" t="n">
        <v>80900</v>
      </c>
      <c r="C18">
        <f>HYPERLINK("https://link.coupang.com/re/AFFSDP?lptag=AF2411847&amp;pageKey=9131705221&amp;itemId=26870306714&amp;vendorItemId=93839902908&amp;traceid=V0-113-c5816db1be622a14", "클릭해서 이동")</f>
        <v/>
      </c>
    </row>
    <row r="19">
      <c r="A19" t="inlineStr">
        <is>
          <t>매직파워 국산 멀티탭 3구 개별형</t>
        </is>
      </c>
      <c r="B19" t="n">
        <v>15520</v>
      </c>
      <c r="C19">
        <f>HYPERLINK("https://link.coupang.com/re/AFFSDP?lptag=AF2411847&amp;pageKey=8863807285&amp;itemId=25850039247&amp;vendorItemId=93562107004&amp;traceid=V0-113-70f0aa70990b07f6", "클릭해서 이동")</f>
        <v/>
      </c>
    </row>
    <row r="20">
      <c r="A20" t="inlineStr">
        <is>
          <t>[호환] BNC INT 엘지 LG 코드제로 A9 A9S 부품 무선 청소기 프리 필터</t>
        </is>
      </c>
      <c r="B20" t="n">
        <v>9500</v>
      </c>
      <c r="C20">
        <f>HYPERLINK("https://link.coupang.com/re/AFFSDP?lptag=AF2411847&amp;pageKey=9086086875&amp;itemId=26696564242&amp;vendorItemId=93668492184&amp;traceid=V0-113-acff32b91fff4202", "클릭해서 이동")</f>
        <v/>
      </c>
    </row>
    <row r="21">
      <c r="A21" t="inlineStr">
        <is>
          <t>로지텍 MX MASTER 4 FOR MAC 무선마우스</t>
        </is>
      </c>
      <c r="B21" t="n">
        <v>152790</v>
      </c>
      <c r="C21">
        <f>HYPERLINK("https://link.coupang.com/re/AFFSDP?lptag=AF2411847&amp;pageKey=9102036529&amp;itemId=26757939451&amp;vendorItemId=93728858540&amp;traceid=V0-113-92c88b6dd7c7f236",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2026-08-17T23:13:23Z</dcterms:created>
  <dcterms:modified xsi:type="dcterms:W3CDTF">2026-08-17T23:13:23Z</dcterms:modified>
</cp:coreProperties>
</file>